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12B9EEF8DB55DC9/文档/"/>
    </mc:Choice>
  </mc:AlternateContent>
  <xr:revisionPtr revIDLastSave="478" documentId="8_{8F706605-9451-421F-A883-268988511C7B}" xr6:coauthVersionLast="47" xr6:coauthVersionMax="47" xr10:uidLastSave="{53D646F7-BF63-4E5C-9020-3E8FBEB4DDD3}"/>
  <bookViews>
    <workbookView xWindow="-108" yWindow="-108" windowWidth="23256" windowHeight="12456" xr2:uid="{89FF5302-048C-4331-9F8A-EDC9F36BF6D0}"/>
  </bookViews>
  <sheets>
    <sheet name="SALES DATA" sheetId="1" r:id="rId1"/>
    <sheet name="DASHBOARD" sheetId="2" r:id="rId2"/>
    <sheet name="PIVOT - MONTHLY" sheetId="3" r:id="rId3"/>
    <sheet name="PIVOT - PRODUCT" sheetId="5" r:id="rId4"/>
    <sheet name="PIVOT - REGION" sheetId="7" r:id="rId5"/>
  </sheet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2" l="1"/>
  <c r="B5" i="2"/>
  <c r="B4" i="2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4" i="1"/>
</calcChain>
</file>

<file path=xl/sharedStrings.xml><?xml version="1.0" encoding="utf-8"?>
<sst xmlns="http://schemas.openxmlformats.org/spreadsheetml/2006/main" count="165" uniqueCount="67">
  <si>
    <t>SALES DATA</t>
  </si>
  <si>
    <t>Order ID</t>
  </si>
  <si>
    <t>Month</t>
  </si>
  <si>
    <t>Product</t>
  </si>
  <si>
    <t>Category</t>
  </si>
  <si>
    <t>Salesperson</t>
  </si>
  <si>
    <t>Region</t>
  </si>
  <si>
    <t>Units Sold</t>
  </si>
  <si>
    <t>Unit Price</t>
  </si>
  <si>
    <t>O001</t>
  </si>
  <si>
    <t>Jan</t>
  </si>
  <si>
    <t>Laptop</t>
  </si>
  <si>
    <t>Electronics</t>
  </si>
  <si>
    <t>Amit</t>
  </si>
  <si>
    <t>North</t>
  </si>
  <si>
    <t>O002</t>
  </si>
  <si>
    <t>Phone</t>
  </si>
  <si>
    <t>Priya</t>
  </si>
  <si>
    <t>South</t>
  </si>
  <si>
    <t>O003</t>
  </si>
  <si>
    <t>Chair</t>
  </si>
  <si>
    <t>Furniture</t>
  </si>
  <si>
    <t>Rahul</t>
  </si>
  <si>
    <t>East</t>
  </si>
  <si>
    <t>O004</t>
  </si>
  <si>
    <t>Feb</t>
  </si>
  <si>
    <t>Neha</t>
  </si>
  <si>
    <t>West</t>
  </si>
  <si>
    <t>O005</t>
  </si>
  <si>
    <t>Desk</t>
  </si>
  <si>
    <t>O006</t>
  </si>
  <si>
    <t>O007</t>
  </si>
  <si>
    <t>Mar</t>
  </si>
  <si>
    <t>O008</t>
  </si>
  <si>
    <t>O009</t>
  </si>
  <si>
    <t>O010</t>
  </si>
  <si>
    <t>Apr</t>
  </si>
  <si>
    <t>O011</t>
  </si>
  <si>
    <t>O012</t>
  </si>
  <si>
    <t>O013</t>
  </si>
  <si>
    <t>May</t>
  </si>
  <si>
    <t>O014</t>
  </si>
  <si>
    <t>O015</t>
  </si>
  <si>
    <t>O016</t>
  </si>
  <si>
    <t>Jun</t>
  </si>
  <si>
    <t>O017</t>
  </si>
  <si>
    <t>O018</t>
  </si>
  <si>
    <t>O019</t>
  </si>
  <si>
    <t>O020</t>
  </si>
  <si>
    <t>REVENUE</t>
  </si>
  <si>
    <t>METRICS</t>
  </si>
  <si>
    <t>VALUE</t>
  </si>
  <si>
    <t>TOTAL REVENUE</t>
  </si>
  <si>
    <t>AVERAGE REVENUE</t>
  </si>
  <si>
    <t>TOTAL ORDER</t>
  </si>
  <si>
    <t>Grand Total</t>
  </si>
  <si>
    <t>MONTH</t>
  </si>
  <si>
    <t xml:space="preserve"> REVENUE</t>
  </si>
  <si>
    <t>PRODUCT</t>
  </si>
  <si>
    <t>REGION</t>
  </si>
  <si>
    <t>SOUTH</t>
  </si>
  <si>
    <t>PHONE</t>
  </si>
  <si>
    <t>JUNE</t>
  </si>
  <si>
    <t>HIGHEST REVENUE PRODUCT</t>
  </si>
  <si>
    <t>HIGHEST REVENUE MONTH</t>
  </si>
  <si>
    <t>HIGHEST REVENUE REGION</t>
  </si>
  <si>
    <t>SALES PERFORMANCE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</si>
</sst>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"/>
    <numFmt numFmtId="165" formatCode="_ &quot;₹&quot;\ * #,##0_ ;_ &quot;₹&quot;\ * \-#,##0_ ;_ &quot;₹&quot;\ * &quot;-&quot;??_ ;_ @_ "/>
  </numFmts>
  <fonts count="8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Arial Black"/>
      <family val="2"/>
    </font>
    <font>
      <sz val="20"/>
      <color theme="1"/>
      <name val="Arial Black"/>
      <family val="2"/>
    </font>
    <font>
      <b/>
      <sz val="14"/>
      <color theme="3"/>
      <name val="Calibri"/>
      <family val="2"/>
      <scheme val="minor"/>
    </font>
    <font>
      <b/>
      <sz val="18"/>
      <color theme="3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3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7" fillId="2" borderId="2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165" fontId="7" fillId="3" borderId="2" xfId="0" applyNumberFormat="1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165" fontId="7" fillId="4" borderId="2" xfId="0" applyNumberFormat="1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7" fillId="6" borderId="2" xfId="0" applyFont="1" applyFill="1" applyBorder="1" applyAlignment="1">
      <alignment horizontal="center"/>
    </xf>
    <xf numFmtId="165" fontId="7" fillId="6" borderId="2" xfId="0" applyNumberFormat="1" applyFont="1" applyFill="1" applyBorder="1" applyAlignment="1">
      <alignment horizontal="center"/>
    </xf>
    <xf numFmtId="0" fontId="7" fillId="7" borderId="2" xfId="0" applyFont="1" applyFill="1" applyBorder="1" applyAlignment="1">
      <alignment horizontal="center"/>
    </xf>
    <xf numFmtId="165" fontId="7" fillId="7" borderId="2" xfId="0" applyNumberFormat="1" applyFont="1" applyFill="1" applyBorder="1" applyAlignment="1">
      <alignment horizontal="center"/>
    </xf>
    <xf numFmtId="164" fontId="7" fillId="3" borderId="2" xfId="0" applyNumberFormat="1" applyFont="1" applyFill="1" applyBorder="1" applyAlignment="1">
      <alignment horizontal="center"/>
    </xf>
    <xf numFmtId="164" fontId="7" fillId="4" borderId="2" xfId="0" applyNumberFormat="1" applyFont="1" applyFill="1" applyBorder="1" applyAlignment="1">
      <alignment horizontal="center"/>
    </xf>
    <xf numFmtId="0" fontId="6" fillId="12" borderId="2" xfId="1" applyFont="1" applyFill="1" applyBorder="1" applyAlignment="1">
      <alignment horizontal="center"/>
    </xf>
    <xf numFmtId="0" fontId="6" fillId="13" borderId="2" xfId="1" applyFont="1" applyFill="1" applyBorder="1" applyAlignment="1">
      <alignment horizontal="center"/>
    </xf>
    <xf numFmtId="0" fontId="6" fillId="13" borderId="2" xfId="0" applyFont="1" applyFill="1" applyBorder="1" applyAlignment="1">
      <alignment horizontal="center"/>
    </xf>
    <xf numFmtId="0" fontId="4" fillId="8" borderId="0" xfId="0" applyFont="1" applyFill="1" applyAlignment="1">
      <alignment horizontal="center"/>
    </xf>
    <xf numFmtId="0" fontId="5" fillId="11" borderId="0" xfId="0" applyFont="1" applyFill="1" applyAlignment="1">
      <alignment horizontal="center"/>
    </xf>
    <xf numFmtId="0" fontId="2" fillId="9" borderId="2" xfId="0" applyFont="1" applyFill="1" applyBorder="1"/>
    <xf numFmtId="0" fontId="0" fillId="10" borderId="2" xfId="0" applyFill="1" applyBorder="1"/>
    <xf numFmtId="0" fontId="0" fillId="0" borderId="2" xfId="0" applyBorder="1"/>
  </cellXfs>
  <cellStyles count="2">
    <cellStyle name="Heading 2" xfId="1" builtinId="17"/>
    <cellStyle name="Normal" xfId="0" builtinId="0"/>
  </cellStyles>
  <dxfs count="120"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numFmt numFmtId="164" formatCode="&quot;₹&quot;\ #,##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3"/>
        <name val="Calibri"/>
        <family val="2"/>
        <scheme val="minor"/>
      </font>
      <border diagonalUp="0" diagonalDown="0" outline="0">
        <left/>
        <right/>
        <top/>
        <bottom style="thick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3"/>
        <name val="Calibri"/>
        <family val="2"/>
        <scheme val="minor"/>
      </font>
      <border diagonalUp="0" diagonalDown="0" outline="0">
        <left/>
        <right/>
        <top/>
        <bottom style="thick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3"/>
        <name val="Calibri"/>
        <family val="2"/>
        <scheme val="minor"/>
      </font>
      <border diagonalUp="0" diagonalDown="0" outline="0">
        <left/>
        <right/>
        <top/>
        <bottom style="thick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3"/>
        <name val="Calibri"/>
        <family val="2"/>
        <scheme val="minor"/>
      </font>
      <border diagonalUp="0" diagonalDown="0" outline="0">
        <left/>
        <right/>
        <top/>
        <bottom style="thick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3"/>
        <name val="Calibri"/>
        <family val="2"/>
        <scheme val="minor"/>
      </font>
      <border diagonalUp="0" diagonalDown="0" outline="0">
        <left/>
        <right/>
        <top/>
        <bottom style="thick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3"/>
        <name val="Calibri"/>
        <family val="2"/>
        <scheme val="minor"/>
      </font>
      <border diagonalUp="0" diagonalDown="0" outline="0">
        <left/>
        <right/>
        <top/>
        <bottom style="thick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5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5"/>
          <bgColor theme="4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5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5"/>
          <bgColor theme="4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3"/>
        <name val="Calibri"/>
        <family val="2"/>
        <scheme val="minor"/>
      </font>
      <border diagonalUp="0" diagonalDown="0" outline="0">
        <left/>
        <right/>
        <top/>
        <bottom style="thick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3"/>
        <name val="Calibri"/>
        <family val="2"/>
        <scheme val="minor"/>
      </font>
      <border diagonalUp="0" diagonalDown="0" outline="0">
        <left/>
        <right/>
        <top/>
        <bottom style="thick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3"/>
        <name val="Calibri"/>
        <family val="2"/>
        <scheme val="minor"/>
      </font>
      <border diagonalUp="0" diagonalDown="0" outline="0">
        <left/>
        <right/>
        <top/>
        <bottom style="thick">
          <color theme="4"/>
        </bottom>
      </border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numFmt numFmtId="165" formatCode="_ &quot;₹&quot;\ * #,##0_ ;_ &quot;₹&quot;\ * \-#,##0_ ;_ &quot;₹&quot;\ * &quot;-&quot;??_ ;_ 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3"/>
        <name val="Calibri"/>
        <family val="2"/>
        <scheme val="minor"/>
      </font>
      <border diagonalUp="0" diagonalDown="0" outline="0">
        <left/>
        <right/>
        <top/>
        <bottom style="thick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3"/>
        <name val="Calibri"/>
        <family val="2"/>
        <scheme val="minor"/>
      </font>
      <border diagonalUp="0" diagonalDown="0" outline="0">
        <left/>
        <right/>
        <top/>
        <bottom style="thick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3"/>
        <name val="Calibri"/>
        <family val="2"/>
        <scheme val="minor"/>
      </font>
      <border diagonalUp="0" diagonalDown="0" outline="0">
        <left/>
        <right/>
        <top/>
        <bottom style="thick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3"/>
        <name val="Calibri"/>
        <family val="2"/>
        <scheme val="minor"/>
      </font>
      <border diagonalUp="0" diagonalDown="0" outline="0">
        <left/>
        <right/>
        <top/>
        <bottom style="thick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3"/>
        <name val="Calibri"/>
        <family val="2"/>
        <scheme val="minor"/>
      </font>
      <border diagonalUp="0" diagonalDown="0" outline="0">
        <left/>
        <right/>
        <top/>
        <bottom style="thick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3"/>
        <name val="Calibri"/>
        <family val="2"/>
        <scheme val="minor"/>
      </font>
      <border diagonalUp="0" diagonalDown="0" outline="0">
        <left/>
        <right/>
        <top/>
        <bottom style="thick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5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5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5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5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5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5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5"/>
          <bgColor theme="9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5"/>
          <bgColor theme="9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5"/>
          <bgColor theme="9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3"/>
        <name val="Calibri"/>
        <family val="2"/>
        <scheme val="minor"/>
      </font>
      <border diagonalUp="0" diagonalDown="0" outline="0">
        <left/>
        <right/>
        <top/>
        <bottom style="thick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3"/>
        <name val="Calibri"/>
        <family val="2"/>
        <scheme val="minor"/>
      </font>
      <border diagonalUp="0" diagonalDown="0" outline="0">
        <left/>
        <right/>
        <top/>
        <bottom style="thick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3"/>
        <name val="Calibri"/>
        <family val="2"/>
        <scheme val="minor"/>
      </font>
      <border diagonalUp="0" diagonalDown="0" outline="0">
        <left/>
        <right/>
        <top/>
        <bottom style="thick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3"/>
        <name val="Calibri"/>
        <family val="2"/>
        <scheme val="minor"/>
      </font>
      <border diagonalUp="0" diagonalDown="0" outline="0">
        <left/>
        <right/>
        <top/>
        <bottom style="thick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3"/>
        <name val="Calibri"/>
        <family val="2"/>
        <scheme val="minor"/>
      </font>
      <border diagonalUp="0" diagonalDown="0" outline="0">
        <left/>
        <right/>
        <top/>
        <bottom style="thick">
          <color theme="4"/>
        </bottom>
      </border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numFmt numFmtId="165" formatCode="_ &quot;₹&quot;\ * #,##0_ ;_ &quot;₹&quot;\ * \-#,##0_ ;_ &quot;₹&quot;\ * &quot;-&quot;??_ ;_ 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Calibri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Calibri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Calibri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Calibri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Calibri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Calibri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5"/>
          <bgColor theme="4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5"/>
          <bgColor theme="4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5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5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5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5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5"/>
          <bgColor theme="4" tint="0.5999938962981048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[Sales_Dashboard.xlsx]PIVOT - MONTHLY!PivotTable1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Monthly Revenue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0590993541537647"/>
          <c:y val="0.16707207207207206"/>
          <c:w val="0.70439600948757808"/>
          <c:h val="0.6918459125536137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- MONTHLY'!$B$3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- MONTHLY'!$A$4:$A$10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'PIVOT - MONTHLY'!$B$4:$B$10</c:f>
              <c:numCache>
                <c:formatCode>_ "₹"\ * #,##0_ ;_ "₹"\ * \-#,##0_ ;_ "₹"\ * "-"??_ ;_ @_ </c:formatCode>
                <c:ptCount val="6"/>
                <c:pt idx="0">
                  <c:v>532000</c:v>
                </c:pt>
                <c:pt idx="1">
                  <c:v>482000</c:v>
                </c:pt>
                <c:pt idx="2">
                  <c:v>396000</c:v>
                </c:pt>
                <c:pt idx="3">
                  <c:v>611000</c:v>
                </c:pt>
                <c:pt idx="4">
                  <c:v>623000</c:v>
                </c:pt>
                <c:pt idx="5">
                  <c:v>856000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EC-40D3-AD74-E6A93C2D48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8092608"/>
        <c:axId val="248091168"/>
      </c:barChart>
      <c:catAx>
        <c:axId val="248092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091168"/>
        <c:crosses val="autoZero"/>
        <c:auto val="1"/>
        <c:lblAlgn val="ctr"/>
        <c:lblOffset val="100"/>
        <c:noMultiLvlLbl val="0"/>
      </c:catAx>
      <c:valAx>
        <c:axId val="248091168"/>
        <c:scaling>
          <c:orientation val="minMax"/>
          <c:max val="9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092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[Sales_Dashboard.xlsx]PIVOT - PRODUCT!PivotTable2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cap="all" baseline="0"/>
              <a:t>Revenue Distribution by Product</a:t>
            </a:r>
            <a:endParaRPr lang="en-IN"/>
          </a:p>
        </c:rich>
      </c:tx>
      <c:layout>
        <c:manualLayout>
          <c:xMode val="edge"/>
          <c:yMode val="edge"/>
          <c:x val="0.19603659161745407"/>
          <c:y val="6.84237386993292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2.2786458333333454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3020833333333334E-2"/>
              <c:y val="4.6296296296295869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3020833333333334E-2"/>
              <c:y val="4.6296296296295869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2.2786458333333454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3020833333333334E-2"/>
              <c:y val="4.6296296296295869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2.2786458333333454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'PIVOT - PRODUCT'!$B$3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679-46FA-B6D8-AAC41407CC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679-46FA-B6D8-AAC41407CC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679-46FA-B6D8-AAC41407CC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679-46FA-B6D8-AAC41407CC0D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D679-46FA-B6D8-AAC41407CC0D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D679-46FA-B6D8-AAC41407CC0D}"/>
                </c:ext>
              </c:extLst>
            </c:dLbl>
            <c:dLbl>
              <c:idx val="2"/>
              <c:layout>
                <c:manualLayout>
                  <c:x val="-1.3020833333333334E-2"/>
                  <c:y val="4.6296296296295869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679-46FA-B6D8-AAC41407CC0D}"/>
                </c:ext>
              </c:extLst>
            </c:dLbl>
            <c:dLbl>
              <c:idx val="3"/>
              <c:layout>
                <c:manualLayout>
                  <c:x val="-2.2786458333333454E-2"/>
                  <c:y val="0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679-46FA-B6D8-AAC41407CC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- PRODUCT'!$A$4:$A$8</c:f>
              <c:strCache>
                <c:ptCount val="4"/>
                <c:pt idx="0">
                  <c:v>Phone</c:v>
                </c:pt>
                <c:pt idx="1">
                  <c:v>Laptop</c:v>
                </c:pt>
                <c:pt idx="2">
                  <c:v>Desk</c:v>
                </c:pt>
                <c:pt idx="3">
                  <c:v>Chair</c:v>
                </c:pt>
              </c:strCache>
            </c:strRef>
          </c:cat>
          <c:val>
            <c:numRef>
              <c:f>'PIVOT - PRODUCT'!$B$4:$B$8</c:f>
              <c:numCache>
                <c:formatCode>_ "₹"\ * #,##0_ ;_ "₹"\ * \-#,##0_ ;_ "₹"\ * "-"??_ ;_ @_ </c:formatCode>
                <c:ptCount val="4"/>
                <c:pt idx="0">
                  <c:v>1600000</c:v>
                </c:pt>
                <c:pt idx="1">
                  <c:v>1500000</c:v>
                </c:pt>
                <c:pt idx="2">
                  <c:v>200000</c:v>
                </c:pt>
                <c:pt idx="3">
                  <c:v>200000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679-46FA-B6D8-AAC41407CC0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[Sales_Dashboard.xlsx]PIVOT - REGION!PivotTable3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/>
              <a:t>Revenue by Region</a:t>
            </a:r>
            <a:endParaRPr lang="en-US" sz="1800" b="1"/>
          </a:p>
        </c:rich>
      </c:tx>
      <c:layout>
        <c:manualLayout>
          <c:xMode val="edge"/>
          <c:yMode val="edge"/>
          <c:x val="0.28744444444444445"/>
          <c:y val="8.69422572178477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76089238845144"/>
          <c:y val="0.22624781277340328"/>
          <c:w val="0.74458770778652672"/>
          <c:h val="0.6663527996500437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-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- REGION'!$A$4:$A$8</c:f>
              <c:strCache>
                <c:ptCount val="4"/>
                <c:pt idx="0">
                  <c:v>South</c:v>
                </c:pt>
                <c:pt idx="1">
                  <c:v>West</c:v>
                </c:pt>
                <c:pt idx="2">
                  <c:v>East</c:v>
                </c:pt>
                <c:pt idx="3">
                  <c:v>North</c:v>
                </c:pt>
              </c:strCache>
            </c:strRef>
          </c:cat>
          <c:val>
            <c:numRef>
              <c:f>'PIVOT - REGION'!$B$4:$B$8</c:f>
              <c:numCache>
                <c:formatCode>"₹"\ #,##0</c:formatCode>
                <c:ptCount val="4"/>
                <c:pt idx="0">
                  <c:v>1600000</c:v>
                </c:pt>
                <c:pt idx="1">
                  <c:v>742000</c:v>
                </c:pt>
                <c:pt idx="2">
                  <c:v>708000</c:v>
                </c:pt>
                <c:pt idx="3">
                  <c:v>450000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6E-4955-B4D4-6C6339D29DA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53491616"/>
        <c:axId val="353487296"/>
      </c:barChart>
      <c:catAx>
        <c:axId val="3534916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3487296"/>
        <c:crosses val="autoZero"/>
        <c:auto val="1"/>
        <c:lblAlgn val="ctr"/>
        <c:lblOffset val="100"/>
        <c:noMultiLvlLbl val="0"/>
      </c:catAx>
      <c:valAx>
        <c:axId val="353487296"/>
        <c:scaling>
          <c:orientation val="minMax"/>
        </c:scaling>
        <c:delete val="1"/>
        <c:axPos val="b"/>
        <c:numFmt formatCode="&quot;₹&quot;\ #,##0" sourceLinked="1"/>
        <c:majorTickMark val="none"/>
        <c:minorTickMark val="none"/>
        <c:tickLblPos val="nextTo"/>
        <c:crossAx val="353491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65193</xdr:colOff>
      <xdr:row>1</xdr:row>
      <xdr:rowOff>39794</xdr:rowOff>
    </xdr:from>
    <xdr:to>
      <xdr:col>8</xdr:col>
      <xdr:colOff>225538</xdr:colOff>
      <xdr:row>13</xdr:row>
      <xdr:rowOff>164290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0D6E76A-D6F2-4090-9B5E-40FD2D5095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277815</xdr:colOff>
      <xdr:row>1</xdr:row>
      <xdr:rowOff>1135</xdr:rowOff>
    </xdr:from>
    <xdr:to>
      <xdr:col>13</xdr:col>
      <xdr:colOff>312186</xdr:colOff>
      <xdr:row>13</xdr:row>
      <xdr:rowOff>66291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2936F80-B268-40E2-A724-EAD146364D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274356</xdr:colOff>
      <xdr:row>13</xdr:row>
      <xdr:rowOff>182900</xdr:rowOff>
    </xdr:from>
    <xdr:to>
      <xdr:col>11</xdr:col>
      <xdr:colOff>274355</xdr:colOff>
      <xdr:row>25</xdr:row>
      <xdr:rowOff>90973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879AC79-DBAE-4408-BDF5-93EE1B1D26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lanjan" refreshedDate="46183.877661226848" createdVersion="8" refreshedVersion="8" minRefreshableVersion="3" recordCount="20" xr:uid="{38BBB7DA-964F-49F8-BA96-583EC033FEBC}">
  <cacheSource type="worksheet">
    <worksheetSource ref="A3:I23" sheet="SALES DATA"/>
  </cacheSource>
  <cacheFields count="9">
    <cacheField name="Order ID" numFmtId="0">
      <sharedItems/>
    </cacheField>
    <cacheField name="Month" numFmtId="0">
      <sharedItems count="6">
        <s v="Jan"/>
        <s v="Feb"/>
        <s v="Mar"/>
        <s v="Apr"/>
        <s v="May"/>
        <s v="Jun"/>
      </sharedItems>
    </cacheField>
    <cacheField name="Product" numFmtId="0">
      <sharedItems count="4">
        <s v="Laptop"/>
        <s v="Phone"/>
        <s v="Chair"/>
        <s v="Desk"/>
      </sharedItems>
    </cacheField>
    <cacheField name="Category" numFmtId="0">
      <sharedItems/>
    </cacheField>
    <cacheField name="Salesperson" numFmtId="0">
      <sharedItems/>
    </cacheField>
    <cacheField name="Region" numFmtId="0">
      <sharedItems count="4">
        <s v="North"/>
        <s v="South"/>
        <s v="East"/>
        <s v="West"/>
      </sharedItems>
    </cacheField>
    <cacheField name="Units Sold" numFmtId="0">
      <sharedItems containsSemiMixedTypes="0" containsString="0" containsNumber="1" containsInteger="1" minValue="3" maxValue="15"/>
    </cacheField>
    <cacheField name="Unit Price" numFmtId="0">
      <sharedItems containsSemiMixedTypes="0" containsString="0" containsNumber="1" containsInteger="1" minValue="4000" maxValue="50000"/>
    </cacheField>
    <cacheField name="REVENUE" numFmtId="0">
      <sharedItems containsSemiMixedTypes="0" containsString="0" containsNumber="1" containsInteger="1" minValue="32000" maxValue="37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O001"/>
    <x v="0"/>
    <x v="0"/>
    <s v="Electronics"/>
    <s v="Amit"/>
    <x v="0"/>
    <n v="5"/>
    <n v="50000"/>
    <n v="250000"/>
  </r>
  <r>
    <s v="O002"/>
    <x v="0"/>
    <x v="1"/>
    <s v="Electronics"/>
    <s v="Priya"/>
    <x v="1"/>
    <n v="10"/>
    <n v="25000"/>
    <n v="250000"/>
  </r>
  <r>
    <s v="O003"/>
    <x v="0"/>
    <x v="2"/>
    <s v="Furniture"/>
    <s v="Rahul"/>
    <x v="2"/>
    <n v="8"/>
    <n v="4000"/>
    <n v="32000"/>
  </r>
  <r>
    <s v="O004"/>
    <x v="1"/>
    <x v="0"/>
    <s v="Electronics"/>
    <s v="Neha"/>
    <x v="3"/>
    <n v="3"/>
    <n v="50000"/>
    <n v="150000"/>
  </r>
  <r>
    <s v="O005"/>
    <x v="1"/>
    <x v="3"/>
    <s v="Furniture"/>
    <s v="Amit"/>
    <x v="0"/>
    <n v="4"/>
    <n v="8000"/>
    <n v="32000"/>
  </r>
  <r>
    <s v="O006"/>
    <x v="1"/>
    <x v="1"/>
    <s v="Electronics"/>
    <s v="Priya"/>
    <x v="1"/>
    <n v="12"/>
    <n v="25000"/>
    <n v="300000"/>
  </r>
  <r>
    <s v="O007"/>
    <x v="2"/>
    <x v="2"/>
    <s v="Furniture"/>
    <s v="Rahul"/>
    <x v="2"/>
    <n v="10"/>
    <n v="4000"/>
    <n v="40000"/>
  </r>
  <r>
    <s v="O008"/>
    <x v="2"/>
    <x v="0"/>
    <s v="Electronics"/>
    <s v="Neha"/>
    <x v="3"/>
    <n v="6"/>
    <n v="50000"/>
    <n v="300000"/>
  </r>
  <r>
    <s v="O009"/>
    <x v="2"/>
    <x v="3"/>
    <s v="Furniture"/>
    <s v="Amit"/>
    <x v="0"/>
    <n v="7"/>
    <n v="8000"/>
    <n v="56000"/>
  </r>
  <r>
    <s v="O010"/>
    <x v="3"/>
    <x v="1"/>
    <s v="Electronics"/>
    <s v="Priya"/>
    <x v="1"/>
    <n v="15"/>
    <n v="25000"/>
    <n v="375000"/>
  </r>
  <r>
    <s v="O011"/>
    <x v="3"/>
    <x v="2"/>
    <s v="Furniture"/>
    <s v="Rahul"/>
    <x v="2"/>
    <n v="9"/>
    <n v="4000"/>
    <n v="36000"/>
  </r>
  <r>
    <s v="O012"/>
    <x v="3"/>
    <x v="0"/>
    <s v="Electronics"/>
    <s v="Neha"/>
    <x v="3"/>
    <n v="4"/>
    <n v="50000"/>
    <n v="200000"/>
  </r>
  <r>
    <s v="O013"/>
    <x v="4"/>
    <x v="3"/>
    <s v="Furniture"/>
    <s v="Amit"/>
    <x v="0"/>
    <n v="6"/>
    <n v="8000"/>
    <n v="48000"/>
  </r>
  <r>
    <s v="O014"/>
    <x v="4"/>
    <x v="1"/>
    <s v="Electronics"/>
    <s v="Priya"/>
    <x v="1"/>
    <n v="13"/>
    <n v="25000"/>
    <n v="325000"/>
  </r>
  <r>
    <s v="O015"/>
    <x v="4"/>
    <x v="0"/>
    <s v="Electronics"/>
    <s v="Rahul"/>
    <x v="2"/>
    <n v="5"/>
    <n v="50000"/>
    <n v="250000"/>
  </r>
  <r>
    <s v="O016"/>
    <x v="5"/>
    <x v="2"/>
    <s v="Furniture"/>
    <s v="Neha"/>
    <x v="3"/>
    <n v="11"/>
    <n v="4000"/>
    <n v="44000"/>
  </r>
  <r>
    <s v="O017"/>
    <x v="5"/>
    <x v="3"/>
    <s v="Furniture"/>
    <s v="Amit"/>
    <x v="0"/>
    <n v="8"/>
    <n v="8000"/>
    <n v="64000"/>
  </r>
  <r>
    <s v="O018"/>
    <x v="5"/>
    <x v="1"/>
    <s v="Electronics"/>
    <s v="Priya"/>
    <x v="1"/>
    <n v="14"/>
    <n v="25000"/>
    <n v="350000"/>
  </r>
  <r>
    <s v="O019"/>
    <x v="5"/>
    <x v="0"/>
    <s v="Electronics"/>
    <s v="Rahul"/>
    <x v="2"/>
    <n v="7"/>
    <n v="50000"/>
    <n v="350000"/>
  </r>
  <r>
    <s v="O020"/>
    <x v="5"/>
    <x v="2"/>
    <s v="Furniture"/>
    <s v="Neha"/>
    <x v="3"/>
    <n v="12"/>
    <n v="4000"/>
    <n v="48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70C775-7BE3-4B51-A80E-E2F4F693A71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MONTH">
  <location ref="A3:B10" firstHeaderRow="1" firstDataRow="1" firstDataCol="1"/>
  <pivotFields count="9"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 REVENUE" fld="8" baseField="0" baseItem="0" numFmtId="165"/>
  </dataFields>
  <formats count="43">
    <format dxfId="119">
      <pivotArea type="all" dataOnly="0" outline="0" fieldPosition="0"/>
    </format>
    <format dxfId="118">
      <pivotArea outline="0" collapsedLevelsAreSubtotals="1" fieldPosition="0"/>
    </format>
    <format dxfId="117">
      <pivotArea field="1" type="button" dataOnly="0" labelOnly="1" outline="0" axis="axisRow" fieldPosition="0"/>
    </format>
    <format dxfId="116">
      <pivotArea dataOnly="0" labelOnly="1" fieldPosition="0">
        <references count="1">
          <reference field="1" count="0"/>
        </references>
      </pivotArea>
    </format>
    <format dxfId="115">
      <pivotArea dataOnly="0" labelOnly="1" grandRow="1" outline="0" fieldPosition="0"/>
    </format>
    <format dxfId="114">
      <pivotArea dataOnly="0" labelOnly="1" outline="0" axis="axisValues" fieldPosition="0"/>
    </format>
    <format dxfId="113">
      <pivotArea type="all" dataOnly="0" outline="0" fieldPosition="0"/>
    </format>
    <format dxfId="112">
      <pivotArea outline="0" collapsedLevelsAreSubtotals="1" fieldPosition="0"/>
    </format>
    <format dxfId="111">
      <pivotArea field="1" type="button" dataOnly="0" labelOnly="1" outline="0" axis="axisRow" fieldPosition="0"/>
    </format>
    <format dxfId="110">
      <pivotArea dataOnly="0" labelOnly="1" fieldPosition="0">
        <references count="1">
          <reference field="1" count="0"/>
        </references>
      </pivotArea>
    </format>
    <format dxfId="109">
      <pivotArea dataOnly="0" labelOnly="1" grandRow="1" outline="0" fieldPosition="0"/>
    </format>
    <format dxfId="108">
      <pivotArea dataOnly="0" labelOnly="1" outline="0" axis="axisValues" fieldPosition="0"/>
    </format>
    <format dxfId="107">
      <pivotArea type="all" dataOnly="0" outline="0" fieldPosition="0"/>
    </format>
    <format dxfId="106">
      <pivotArea field="1" type="button" dataOnly="0" labelOnly="1" outline="0" axis="axisRow" fieldPosition="0"/>
    </format>
    <format dxfId="105">
      <pivotArea dataOnly="0" labelOnly="1" fieldPosition="0">
        <references count="1">
          <reference field="1" count="0"/>
        </references>
      </pivotArea>
    </format>
    <format dxfId="104">
      <pivotArea dataOnly="0" labelOnly="1" grandRow="1" outline="0" fieldPosition="0"/>
    </format>
    <format dxfId="103">
      <pivotArea dataOnly="0" labelOnly="1" outline="0" axis="axisValues" fieldPosition="0"/>
    </format>
    <format dxfId="102">
      <pivotArea dataOnly="0" fieldPosition="0">
        <references count="1">
          <reference field="1" count="0"/>
        </references>
      </pivotArea>
    </format>
    <format dxfId="101">
      <pivotArea field="1" type="button" dataOnly="0" labelOnly="1" outline="0" axis="axisRow" fieldPosition="0"/>
    </format>
    <format dxfId="100">
      <pivotArea dataOnly="0" labelOnly="1" outline="0" axis="axisValues" fieldPosition="0"/>
    </format>
    <format dxfId="99">
      <pivotArea collapsedLevelsAreSubtotals="1" fieldPosition="0">
        <references count="1">
          <reference field="1" count="0"/>
        </references>
      </pivotArea>
    </format>
    <format dxfId="98">
      <pivotArea dataOnly="0" labelOnly="1" fieldPosition="0">
        <references count="1">
          <reference field="1" count="0"/>
        </references>
      </pivotArea>
    </format>
    <format dxfId="97">
      <pivotArea grandRow="1" outline="0" collapsedLevelsAreSubtotals="1" fieldPosition="0"/>
    </format>
    <format dxfId="96">
      <pivotArea dataOnly="0" labelOnly="1" grandRow="1" outline="0" fieldPosition="0"/>
    </format>
    <format dxfId="95">
      <pivotArea type="all" dataOnly="0" outline="0" fieldPosition="0"/>
    </format>
    <format dxfId="94">
      <pivotArea outline="0" collapsedLevelsAreSubtotals="1" fieldPosition="0"/>
    </format>
    <format dxfId="93">
      <pivotArea field="1" type="button" dataOnly="0" labelOnly="1" outline="0" axis="axisRow" fieldPosition="0"/>
    </format>
    <format dxfId="92">
      <pivotArea dataOnly="0" labelOnly="1" fieldPosition="0">
        <references count="1">
          <reference field="1" count="0"/>
        </references>
      </pivotArea>
    </format>
    <format dxfId="91">
      <pivotArea dataOnly="0" labelOnly="1" grandRow="1" outline="0" fieldPosition="0"/>
    </format>
    <format dxfId="90">
      <pivotArea dataOnly="0" labelOnly="1" outline="0" axis="axisValues" fieldPosition="0"/>
    </format>
    <format dxfId="89">
      <pivotArea type="all" dataOnly="0" outline="0" fieldPosition="0"/>
    </format>
    <format dxfId="88">
      <pivotArea outline="0" collapsedLevelsAreSubtotals="1" fieldPosition="0"/>
    </format>
    <format dxfId="87">
      <pivotArea field="1" type="button" dataOnly="0" labelOnly="1" outline="0" axis="axisRow" fieldPosition="0"/>
    </format>
    <format dxfId="86">
      <pivotArea dataOnly="0" labelOnly="1" fieldPosition="0">
        <references count="1">
          <reference field="1" count="0"/>
        </references>
      </pivotArea>
    </format>
    <format dxfId="85">
      <pivotArea dataOnly="0" labelOnly="1" grandRow="1" outline="0" fieldPosition="0"/>
    </format>
    <format dxfId="84">
      <pivotArea dataOnly="0" labelOnly="1" outline="0" axis="axisValues" fieldPosition="0"/>
    </format>
    <format dxfId="83">
      <pivotArea outline="0" collapsedLevelsAreSubtotals="1" fieldPosition="0"/>
    </format>
    <format dxfId="82">
      <pivotArea type="all" dataOnly="0" outline="0" fieldPosition="0"/>
    </format>
    <format dxfId="81">
      <pivotArea outline="0" collapsedLevelsAreSubtotals="1" fieldPosition="0"/>
    </format>
    <format dxfId="80">
      <pivotArea field="1" type="button" dataOnly="0" labelOnly="1" outline="0" axis="axisRow" fieldPosition="0"/>
    </format>
    <format dxfId="79">
      <pivotArea dataOnly="0" labelOnly="1" fieldPosition="0">
        <references count="1">
          <reference field="1" count="0"/>
        </references>
      </pivotArea>
    </format>
    <format dxfId="78">
      <pivotArea dataOnly="0" labelOnly="1" grandRow="1" outline="0" fieldPosition="0"/>
    </format>
    <format dxfId="77">
      <pivotArea dataOnly="0" labelOnly="1" outline="0" axis="axisValues" fieldPosition="0"/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72C199-7683-4EAF-865F-0B815C2CE81F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 rowHeaderCaption="PRODUCT">
  <location ref="A3:B8" firstHeaderRow="1" firstDataRow="1" firstDataCol="1"/>
  <pivotFields count="9">
    <pivotField showAll="0"/>
    <pivotField showAll="0"/>
    <pivotField axis="axisRow" showAll="0" sortType="descending">
      <items count="5">
        <item x="1"/>
        <item x="0"/>
        <item x="3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 REVENUE" fld="8" baseField="0" baseItem="0" numFmtId="165"/>
  </dataFields>
  <formats count="39">
    <format dxfId="76">
      <pivotArea type="all" dataOnly="0" outline="0" fieldPosition="0"/>
    </format>
    <format dxfId="75">
      <pivotArea field="2" type="button" dataOnly="0" labelOnly="1" outline="0" axis="axisRow" fieldPosition="0"/>
    </format>
    <format dxfId="74">
      <pivotArea dataOnly="0" labelOnly="1" fieldPosition="0">
        <references count="1">
          <reference field="2" count="0"/>
        </references>
      </pivotArea>
    </format>
    <format dxfId="73">
      <pivotArea dataOnly="0" labelOnly="1" grandRow="1" outline="0" fieldPosition="0"/>
    </format>
    <format dxfId="72">
      <pivotArea dataOnly="0" labelOnly="1" outline="0" axis="axisValues" fieldPosition="0"/>
    </format>
    <format dxfId="71">
      <pivotArea dataOnly="0" fieldPosition="0">
        <references count="1">
          <reference field="2" count="0"/>
        </references>
      </pivotArea>
    </format>
    <format dxfId="70">
      <pivotArea grandRow="1" outline="0" collapsedLevelsAreSubtotals="1" fieldPosition="0"/>
    </format>
    <format dxfId="69">
      <pivotArea dataOnly="0" labelOnly="1" grandRow="1" outline="0" fieldPosition="0"/>
    </format>
    <format dxfId="68">
      <pivotArea field="2" type="button" dataOnly="0" labelOnly="1" outline="0" axis="axisRow" fieldPosition="0"/>
    </format>
    <format dxfId="67">
      <pivotArea dataOnly="0" labelOnly="1" outline="0" axis="axisValues" fieldPosition="0"/>
    </format>
    <format dxfId="66">
      <pivotArea collapsedLevelsAreSubtotals="1" fieldPosition="0">
        <references count="1">
          <reference field="2" count="3">
            <x v="1"/>
            <x v="2"/>
            <x v="3"/>
          </reference>
        </references>
      </pivotArea>
    </format>
    <format dxfId="65">
      <pivotArea dataOnly="0" labelOnly="1" fieldPosition="0">
        <references count="1">
          <reference field="2" count="3">
            <x v="1"/>
            <x v="2"/>
            <x v="3"/>
          </reference>
        </references>
      </pivotArea>
    </format>
    <format dxfId="64">
      <pivotArea collapsedLevelsAreSubtotals="1" fieldPosition="0">
        <references count="1">
          <reference field="2" count="1">
            <x v="0"/>
          </reference>
        </references>
      </pivotArea>
    </format>
    <format dxfId="63">
      <pivotArea dataOnly="0" labelOnly="1" fieldPosition="0">
        <references count="1">
          <reference field="2" count="1">
            <x v="0"/>
          </reference>
        </references>
      </pivotArea>
    </format>
    <format dxfId="62">
      <pivotArea type="all" dataOnly="0" outline="0" fieldPosition="0"/>
    </format>
    <format dxfId="61">
      <pivotArea outline="0" collapsedLevelsAreSubtotals="1" fieldPosition="0"/>
    </format>
    <format dxfId="60">
      <pivotArea field="2" type="button" dataOnly="0" labelOnly="1" outline="0" axis="axisRow" fieldPosition="0"/>
    </format>
    <format dxfId="59">
      <pivotArea dataOnly="0" labelOnly="1" fieldPosition="0">
        <references count="1">
          <reference field="2" count="0"/>
        </references>
      </pivotArea>
    </format>
    <format dxfId="58">
      <pivotArea dataOnly="0" labelOnly="1" grandRow="1" outline="0" fieldPosition="0"/>
    </format>
    <format dxfId="57">
      <pivotArea dataOnly="0" labelOnly="1" outline="0" axis="axisValues" fieldPosition="0"/>
    </format>
    <format dxfId="56">
      <pivotArea type="all" dataOnly="0" outline="0" fieldPosition="0"/>
    </format>
    <format dxfId="55">
      <pivotArea outline="0" collapsedLevelsAreSubtotals="1" fieldPosition="0"/>
    </format>
    <format dxfId="54">
      <pivotArea field="2" type="button" dataOnly="0" labelOnly="1" outline="0" axis="axisRow" fieldPosition="0"/>
    </format>
    <format dxfId="53">
      <pivotArea dataOnly="0" labelOnly="1" fieldPosition="0">
        <references count="1">
          <reference field="2" count="0"/>
        </references>
      </pivotArea>
    </format>
    <format dxfId="52">
      <pivotArea dataOnly="0" labelOnly="1" grandRow="1" outline="0" fieldPosition="0"/>
    </format>
    <format dxfId="51">
      <pivotArea dataOnly="0" labelOnly="1" outline="0" axis="axisValues" fieldPosition="0"/>
    </format>
    <format dxfId="50">
      <pivotArea type="all" dataOnly="0" outline="0" fieldPosition="0"/>
    </format>
    <format dxfId="49">
      <pivotArea outline="0" collapsedLevelsAreSubtotals="1" fieldPosition="0"/>
    </format>
    <format dxfId="48">
      <pivotArea field="2" type="button" dataOnly="0" labelOnly="1" outline="0" axis="axisRow" fieldPosition="0"/>
    </format>
    <format dxfId="47">
      <pivotArea dataOnly="0" labelOnly="1" fieldPosition="0">
        <references count="1">
          <reference field="2" count="0"/>
        </references>
      </pivotArea>
    </format>
    <format dxfId="46">
      <pivotArea dataOnly="0" labelOnly="1" grandRow="1" outline="0" fieldPosition="0"/>
    </format>
    <format dxfId="45">
      <pivotArea dataOnly="0" labelOnly="1" outline="0" axis="axisValues" fieldPosition="0"/>
    </format>
    <format dxfId="44">
      <pivotArea outline="0" collapsedLevelsAreSubtotals="1" fieldPosition="0"/>
    </format>
    <format dxfId="43">
      <pivotArea type="all" dataOnly="0" outline="0" fieldPosition="0"/>
    </format>
    <format dxfId="42">
      <pivotArea outline="0" collapsedLevelsAreSubtotals="1" fieldPosition="0"/>
    </format>
    <format dxfId="41">
      <pivotArea field="2" type="button" dataOnly="0" labelOnly="1" outline="0" axis="axisRow" fieldPosition="0"/>
    </format>
    <format dxfId="40">
      <pivotArea dataOnly="0" labelOnly="1" fieldPosition="0">
        <references count="1">
          <reference field="2" count="0"/>
        </references>
      </pivotArea>
    </format>
    <format dxfId="39">
      <pivotArea dataOnly="0" labelOnly="1" grandRow="1" outline="0" fieldPosition="0"/>
    </format>
    <format dxfId="38">
      <pivotArea dataOnly="0" labelOnly="1" outline="0" axis="axisValues" fieldPosition="0"/>
    </format>
  </formats>
  <chartFormats count="5">
    <chartFormat chart="12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2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2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2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110B1B-0B41-4FA3-8B2F-2D4AD83956A9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REGION">
  <location ref="A3:B8" firstHeaderRow="1" firstDataRow="1" firstDataCol="1"/>
  <pivotFields count="9">
    <pivotField showAll="0"/>
    <pivotField showAll="0"/>
    <pivotField showAll="0"/>
    <pivotField showAll="0"/>
    <pivotField showAll="0"/>
    <pivotField axis="axisRow" showAll="0" sortType="descending">
      <items count="5">
        <item x="3"/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</pivotFields>
  <rowFields count="1">
    <field x="5"/>
  </rowFields>
  <rowItems count="5">
    <i>
      <x v="1"/>
    </i>
    <i>
      <x/>
    </i>
    <i>
      <x v="3"/>
    </i>
    <i>
      <x v="2"/>
    </i>
    <i t="grand">
      <x/>
    </i>
  </rowItems>
  <colItems count="1">
    <i/>
  </colItems>
  <dataFields count="1">
    <dataField name=" REVENUE" fld="8" baseField="0" baseItem="0" numFmtId="164"/>
  </dataFields>
  <formats count="38">
    <format dxfId="37">
      <pivotArea type="all" dataOnly="0" outline="0" fieldPosition="0"/>
    </format>
    <format dxfId="36">
      <pivotArea field="5" type="button" dataOnly="0" labelOnly="1" outline="0" axis="axisRow" fieldPosition="0"/>
    </format>
    <format dxfId="35">
      <pivotArea dataOnly="0" labelOnly="1" outline="0" axis="axisValues" fieldPosition="0"/>
    </format>
    <format dxfId="34">
      <pivotArea field="5" type="button" dataOnly="0" labelOnly="1" outline="0" axis="axisRow" fieldPosition="0"/>
    </format>
    <format dxfId="33">
      <pivotArea dataOnly="0" labelOnly="1" outline="0" axis="axisValues" fieldPosition="0"/>
    </format>
    <format dxfId="32">
      <pivotArea dataOnly="0" grandRow="1" fieldPosition="0"/>
    </format>
    <format dxfId="31">
      <pivotArea dataOnly="0" fieldPosition="0">
        <references count="1">
          <reference field="5" count="0"/>
        </references>
      </pivotArea>
    </format>
    <format dxfId="30">
      <pivotArea type="all" dataOnly="0" outline="0" fieldPosition="0"/>
    </format>
    <format dxfId="29">
      <pivotArea outline="0" collapsedLevelsAreSubtotals="1" fieldPosition="0"/>
    </format>
    <format dxfId="28">
      <pivotArea field="5" type="button" dataOnly="0" labelOnly="1" outline="0" axis="axisRow" fieldPosition="0"/>
    </format>
    <format dxfId="27">
      <pivotArea dataOnly="0" labelOnly="1" fieldPosition="0">
        <references count="1">
          <reference field="5" count="0"/>
        </references>
      </pivotArea>
    </format>
    <format dxfId="26">
      <pivotArea dataOnly="0" labelOnly="1" grandRow="1" outline="0" fieldPosition="0"/>
    </format>
    <format dxfId="25">
      <pivotArea dataOnly="0" labelOnly="1" outline="0" axis="axisValues" fieldPosition="0"/>
    </format>
    <format dxfId="24">
      <pivotArea type="all" dataOnly="0" outline="0" fieldPosition="0"/>
    </format>
    <format dxfId="23">
      <pivotArea outline="0" collapsedLevelsAreSubtotals="1" fieldPosition="0"/>
    </format>
    <format dxfId="22">
      <pivotArea field="5" type="button" dataOnly="0" labelOnly="1" outline="0" axis="axisRow" fieldPosition="0"/>
    </format>
    <format dxfId="21">
      <pivotArea dataOnly="0" labelOnly="1" fieldPosition="0">
        <references count="1">
          <reference field="5" count="0"/>
        </references>
      </pivotArea>
    </format>
    <format dxfId="20">
      <pivotArea dataOnly="0" labelOnly="1" grandRow="1" outline="0" fieldPosition="0"/>
    </format>
    <format dxfId="19">
      <pivotArea dataOnly="0" labelOnly="1" outline="0" axis="axisValues" fieldPosition="0"/>
    </format>
    <format dxfId="18">
      <pivotArea type="all" dataOnly="0" outline="0" fieldPosition="0"/>
    </format>
    <format dxfId="17">
      <pivotArea outline="0" collapsedLevelsAreSubtotals="1" fieldPosition="0"/>
    </format>
    <format dxfId="16">
      <pivotArea field="5" type="button" dataOnly="0" labelOnly="1" outline="0" axis="axisRow" fieldPosition="0"/>
    </format>
    <format dxfId="15">
      <pivotArea dataOnly="0" labelOnly="1" fieldPosition="0">
        <references count="1">
          <reference field="5" count="0"/>
        </references>
      </pivotArea>
    </format>
    <format dxfId="14">
      <pivotArea dataOnly="0" labelOnly="1" grandRow="1" outline="0" fieldPosition="0"/>
    </format>
    <format dxfId="13">
      <pivotArea dataOnly="0" labelOnly="1" outline="0" axis="axisValues" fieldPosition="0"/>
    </format>
    <format dxfId="12">
      <pivotArea type="all" dataOnly="0" outline="0" fieldPosition="0"/>
    </format>
    <format dxfId="11">
      <pivotArea outline="0" collapsedLevelsAreSubtotals="1" fieldPosition="0"/>
    </format>
    <format dxfId="10">
      <pivotArea field="5" type="button" dataOnly="0" labelOnly="1" outline="0" axis="axisRow" fieldPosition="0"/>
    </format>
    <format dxfId="9">
      <pivotArea dataOnly="0" labelOnly="1" fieldPosition="0">
        <references count="1">
          <reference field="5" count="0"/>
        </references>
      </pivotArea>
    </format>
    <format dxfId="8">
      <pivotArea dataOnly="0" labelOnly="1" grandRow="1" outline="0" fieldPosition="0"/>
    </format>
    <format dxfId="7">
      <pivotArea dataOnly="0" labelOnly="1" outline="0" axis="axisValues" fieldPosition="0"/>
    </format>
    <format dxfId="6">
      <pivotArea outline="0" collapsedLevelsAreSubtotals="1" fieldPosition="0"/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5" type="button" dataOnly="0" labelOnly="1" outline="0" axis="axisRow" fieldPosition="0"/>
    </format>
    <format dxfId="2">
      <pivotArea dataOnly="0" labelOnly="1" fieldPosition="0">
        <references count="1">
          <reference field="5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1"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9D306-6065-4BD7-BD75-076FF5193331}">
  <sheetPr>
    <tabColor rgb="FF92D050"/>
  </sheetPr>
  <dimension ref="A1:I23"/>
  <sheetViews>
    <sheetView tabSelected="1" workbookViewId="0">
      <selection activeCell="F10" sqref="F10"/>
    </sheetView>
  </sheetViews>
  <sheetFormatPr defaultRowHeight="14.4" x14ac:dyDescent="0.3"/>
  <cols>
    <col min="1" max="1" width="9.88671875" customWidth="1"/>
    <col min="3" max="3" width="9.5546875" customWidth="1"/>
    <col min="4" max="4" width="10.44140625" customWidth="1"/>
    <col min="5" max="5" width="12.88671875" customWidth="1"/>
    <col min="7" max="7" width="11.33203125" customWidth="1"/>
    <col min="8" max="8" width="11" customWidth="1"/>
    <col min="9" max="9" width="10.88671875" customWidth="1"/>
  </cols>
  <sheetData>
    <row r="1" spans="1:9" ht="34.200000000000003" x14ac:dyDescent="0.8">
      <c r="A1" s="18" t="s">
        <v>0</v>
      </c>
      <c r="B1" s="18"/>
      <c r="C1" s="18"/>
      <c r="D1" s="18"/>
      <c r="E1" s="18"/>
      <c r="F1" s="18"/>
      <c r="G1" s="18"/>
      <c r="H1" s="18"/>
      <c r="I1" s="18"/>
    </row>
    <row r="3" spans="1:9" x14ac:dyDescent="0.3">
      <c r="A3" s="20" t="s">
        <v>1</v>
      </c>
      <c r="B3" s="20" t="s">
        <v>2</v>
      </c>
      <c r="C3" s="20" t="s">
        <v>3</v>
      </c>
      <c r="D3" s="20" t="s">
        <v>4</v>
      </c>
      <c r="E3" s="20" t="s">
        <v>5</v>
      </c>
      <c r="F3" s="20" t="s">
        <v>6</v>
      </c>
      <c r="G3" s="20" t="s">
        <v>7</v>
      </c>
      <c r="H3" s="20" t="s">
        <v>8</v>
      </c>
      <c r="I3" s="20" t="s">
        <v>49</v>
      </c>
    </row>
    <row r="4" spans="1:9" x14ac:dyDescent="0.3">
      <c r="A4" s="21" t="s">
        <v>9</v>
      </c>
      <c r="B4" s="21" t="s">
        <v>10</v>
      </c>
      <c r="C4" s="21" t="s">
        <v>11</v>
      </c>
      <c r="D4" s="21" t="s">
        <v>12</v>
      </c>
      <c r="E4" s="21" t="s">
        <v>13</v>
      </c>
      <c r="F4" s="21" t="s">
        <v>14</v>
      </c>
      <c r="G4" s="21">
        <v>5</v>
      </c>
      <c r="H4" s="21">
        <v>50000</v>
      </c>
      <c r="I4" s="21">
        <f>G4*H4</f>
        <v>250000</v>
      </c>
    </row>
    <row r="5" spans="1:9" x14ac:dyDescent="0.3">
      <c r="A5" s="22" t="s">
        <v>15</v>
      </c>
      <c r="B5" s="22" t="s">
        <v>10</v>
      </c>
      <c r="C5" s="22" t="s">
        <v>16</v>
      </c>
      <c r="D5" s="22" t="s">
        <v>12</v>
      </c>
      <c r="E5" s="22" t="s">
        <v>17</v>
      </c>
      <c r="F5" s="22" t="s">
        <v>18</v>
      </c>
      <c r="G5" s="22">
        <v>10</v>
      </c>
      <c r="H5" s="22">
        <v>25000</v>
      </c>
      <c r="I5" s="22">
        <f t="shared" ref="I5:I23" si="0">G5*H5</f>
        <v>250000</v>
      </c>
    </row>
    <row r="6" spans="1:9" x14ac:dyDescent="0.3">
      <c r="A6" s="21" t="s">
        <v>19</v>
      </c>
      <c r="B6" s="21" t="s">
        <v>10</v>
      </c>
      <c r="C6" s="21" t="s">
        <v>20</v>
      </c>
      <c r="D6" s="21" t="s">
        <v>21</v>
      </c>
      <c r="E6" s="21" t="s">
        <v>22</v>
      </c>
      <c r="F6" s="21" t="s">
        <v>23</v>
      </c>
      <c r="G6" s="21">
        <v>8</v>
      </c>
      <c r="H6" s="21">
        <v>4000</v>
      </c>
      <c r="I6" s="21">
        <f t="shared" si="0"/>
        <v>32000</v>
      </c>
    </row>
    <row r="7" spans="1:9" x14ac:dyDescent="0.3">
      <c r="A7" s="22" t="s">
        <v>24</v>
      </c>
      <c r="B7" s="22" t="s">
        <v>25</v>
      </c>
      <c r="C7" s="22" t="s">
        <v>11</v>
      </c>
      <c r="D7" s="22" t="s">
        <v>12</v>
      </c>
      <c r="E7" s="22" t="s">
        <v>26</v>
      </c>
      <c r="F7" s="22" t="s">
        <v>27</v>
      </c>
      <c r="G7" s="22">
        <v>3</v>
      </c>
      <c r="H7" s="22">
        <v>50000</v>
      </c>
      <c r="I7" s="22">
        <f t="shared" si="0"/>
        <v>150000</v>
      </c>
    </row>
    <row r="8" spans="1:9" x14ac:dyDescent="0.3">
      <c r="A8" s="21" t="s">
        <v>28</v>
      </c>
      <c r="B8" s="21" t="s">
        <v>25</v>
      </c>
      <c r="C8" s="21" t="s">
        <v>29</v>
      </c>
      <c r="D8" s="21" t="s">
        <v>21</v>
      </c>
      <c r="E8" s="21" t="s">
        <v>13</v>
      </c>
      <c r="F8" s="21" t="s">
        <v>14</v>
      </c>
      <c r="G8" s="21">
        <v>4</v>
      </c>
      <c r="H8" s="21">
        <v>8000</v>
      </c>
      <c r="I8" s="21">
        <f t="shared" si="0"/>
        <v>32000</v>
      </c>
    </row>
    <row r="9" spans="1:9" x14ac:dyDescent="0.3">
      <c r="A9" s="22" t="s">
        <v>30</v>
      </c>
      <c r="B9" s="22" t="s">
        <v>25</v>
      </c>
      <c r="C9" s="22" t="s">
        <v>16</v>
      </c>
      <c r="D9" s="22" t="s">
        <v>12</v>
      </c>
      <c r="E9" s="22" t="s">
        <v>17</v>
      </c>
      <c r="F9" s="22" t="s">
        <v>18</v>
      </c>
      <c r="G9" s="22">
        <v>12</v>
      </c>
      <c r="H9" s="22">
        <v>25000</v>
      </c>
      <c r="I9" s="22">
        <f t="shared" si="0"/>
        <v>300000</v>
      </c>
    </row>
    <row r="10" spans="1:9" x14ac:dyDescent="0.3">
      <c r="A10" s="21" t="s">
        <v>31</v>
      </c>
      <c r="B10" s="21" t="s">
        <v>32</v>
      </c>
      <c r="C10" s="21" t="s">
        <v>20</v>
      </c>
      <c r="D10" s="21" t="s">
        <v>21</v>
      </c>
      <c r="E10" s="21" t="s">
        <v>22</v>
      </c>
      <c r="F10" s="21" t="s">
        <v>23</v>
      </c>
      <c r="G10" s="21">
        <v>10</v>
      </c>
      <c r="H10" s="21">
        <v>4000</v>
      </c>
      <c r="I10" s="21">
        <f t="shared" si="0"/>
        <v>40000</v>
      </c>
    </row>
    <row r="11" spans="1:9" x14ac:dyDescent="0.3">
      <c r="A11" s="22" t="s">
        <v>33</v>
      </c>
      <c r="B11" s="22" t="s">
        <v>32</v>
      </c>
      <c r="C11" s="22" t="s">
        <v>11</v>
      </c>
      <c r="D11" s="22" t="s">
        <v>12</v>
      </c>
      <c r="E11" s="22" t="s">
        <v>26</v>
      </c>
      <c r="F11" s="22" t="s">
        <v>27</v>
      </c>
      <c r="G11" s="22">
        <v>6</v>
      </c>
      <c r="H11" s="22">
        <v>50000</v>
      </c>
      <c r="I11" s="22">
        <f t="shared" si="0"/>
        <v>300000</v>
      </c>
    </row>
    <row r="12" spans="1:9" x14ac:dyDescent="0.3">
      <c r="A12" s="21" t="s">
        <v>34</v>
      </c>
      <c r="B12" s="21" t="s">
        <v>32</v>
      </c>
      <c r="C12" s="21" t="s">
        <v>29</v>
      </c>
      <c r="D12" s="21" t="s">
        <v>21</v>
      </c>
      <c r="E12" s="21" t="s">
        <v>13</v>
      </c>
      <c r="F12" s="21" t="s">
        <v>14</v>
      </c>
      <c r="G12" s="21">
        <v>7</v>
      </c>
      <c r="H12" s="21">
        <v>8000</v>
      </c>
      <c r="I12" s="21">
        <f t="shared" si="0"/>
        <v>56000</v>
      </c>
    </row>
    <row r="13" spans="1:9" x14ac:dyDescent="0.3">
      <c r="A13" s="22" t="s">
        <v>35</v>
      </c>
      <c r="B13" s="22" t="s">
        <v>36</v>
      </c>
      <c r="C13" s="22" t="s">
        <v>16</v>
      </c>
      <c r="D13" s="22" t="s">
        <v>12</v>
      </c>
      <c r="E13" s="22" t="s">
        <v>17</v>
      </c>
      <c r="F13" s="22" t="s">
        <v>18</v>
      </c>
      <c r="G13" s="22">
        <v>15</v>
      </c>
      <c r="H13" s="22">
        <v>25000</v>
      </c>
      <c r="I13" s="22">
        <f t="shared" si="0"/>
        <v>375000</v>
      </c>
    </row>
    <row r="14" spans="1:9" x14ac:dyDescent="0.3">
      <c r="A14" s="21" t="s">
        <v>37</v>
      </c>
      <c r="B14" s="21" t="s">
        <v>36</v>
      </c>
      <c r="C14" s="21" t="s">
        <v>20</v>
      </c>
      <c r="D14" s="21" t="s">
        <v>21</v>
      </c>
      <c r="E14" s="21" t="s">
        <v>22</v>
      </c>
      <c r="F14" s="21" t="s">
        <v>23</v>
      </c>
      <c r="G14" s="21">
        <v>9</v>
      </c>
      <c r="H14" s="21">
        <v>4000</v>
      </c>
      <c r="I14" s="21">
        <f t="shared" si="0"/>
        <v>36000</v>
      </c>
    </row>
    <row r="15" spans="1:9" x14ac:dyDescent="0.3">
      <c r="A15" s="22" t="s">
        <v>38</v>
      </c>
      <c r="B15" s="22" t="s">
        <v>36</v>
      </c>
      <c r="C15" s="22" t="s">
        <v>11</v>
      </c>
      <c r="D15" s="22" t="s">
        <v>12</v>
      </c>
      <c r="E15" s="22" t="s">
        <v>26</v>
      </c>
      <c r="F15" s="22" t="s">
        <v>27</v>
      </c>
      <c r="G15" s="22">
        <v>4</v>
      </c>
      <c r="H15" s="22">
        <v>50000</v>
      </c>
      <c r="I15" s="22">
        <f t="shared" si="0"/>
        <v>200000</v>
      </c>
    </row>
    <row r="16" spans="1:9" x14ac:dyDescent="0.3">
      <c r="A16" s="21" t="s">
        <v>39</v>
      </c>
      <c r="B16" s="21" t="s">
        <v>40</v>
      </c>
      <c r="C16" s="21" t="s">
        <v>29</v>
      </c>
      <c r="D16" s="21" t="s">
        <v>21</v>
      </c>
      <c r="E16" s="21" t="s">
        <v>13</v>
      </c>
      <c r="F16" s="21" t="s">
        <v>14</v>
      </c>
      <c r="G16" s="21">
        <v>6</v>
      </c>
      <c r="H16" s="21">
        <v>8000</v>
      </c>
      <c r="I16" s="21">
        <f t="shared" si="0"/>
        <v>48000</v>
      </c>
    </row>
    <row r="17" spans="1:9" x14ac:dyDescent="0.3">
      <c r="A17" s="22" t="s">
        <v>41</v>
      </c>
      <c r="B17" s="22" t="s">
        <v>40</v>
      </c>
      <c r="C17" s="22" t="s">
        <v>16</v>
      </c>
      <c r="D17" s="22" t="s">
        <v>12</v>
      </c>
      <c r="E17" s="22" t="s">
        <v>17</v>
      </c>
      <c r="F17" s="22" t="s">
        <v>18</v>
      </c>
      <c r="G17" s="22">
        <v>13</v>
      </c>
      <c r="H17" s="22">
        <v>25000</v>
      </c>
      <c r="I17" s="22">
        <f t="shared" si="0"/>
        <v>325000</v>
      </c>
    </row>
    <row r="18" spans="1:9" x14ac:dyDescent="0.3">
      <c r="A18" s="21" t="s">
        <v>42</v>
      </c>
      <c r="B18" s="21" t="s">
        <v>40</v>
      </c>
      <c r="C18" s="21" t="s">
        <v>11</v>
      </c>
      <c r="D18" s="21" t="s">
        <v>12</v>
      </c>
      <c r="E18" s="21" t="s">
        <v>22</v>
      </c>
      <c r="F18" s="21" t="s">
        <v>23</v>
      </c>
      <c r="G18" s="21">
        <v>5</v>
      </c>
      <c r="H18" s="21">
        <v>50000</v>
      </c>
      <c r="I18" s="21">
        <f t="shared" si="0"/>
        <v>250000</v>
      </c>
    </row>
    <row r="19" spans="1:9" x14ac:dyDescent="0.3">
      <c r="A19" s="22" t="s">
        <v>43</v>
      </c>
      <c r="B19" s="22" t="s">
        <v>44</v>
      </c>
      <c r="C19" s="22" t="s">
        <v>20</v>
      </c>
      <c r="D19" s="22" t="s">
        <v>21</v>
      </c>
      <c r="E19" s="22" t="s">
        <v>26</v>
      </c>
      <c r="F19" s="22" t="s">
        <v>27</v>
      </c>
      <c r="G19" s="22">
        <v>11</v>
      </c>
      <c r="H19" s="22">
        <v>4000</v>
      </c>
      <c r="I19" s="22">
        <f t="shared" si="0"/>
        <v>44000</v>
      </c>
    </row>
    <row r="20" spans="1:9" x14ac:dyDescent="0.3">
      <c r="A20" s="21" t="s">
        <v>45</v>
      </c>
      <c r="B20" s="21" t="s">
        <v>44</v>
      </c>
      <c r="C20" s="21" t="s">
        <v>29</v>
      </c>
      <c r="D20" s="21" t="s">
        <v>21</v>
      </c>
      <c r="E20" s="21" t="s">
        <v>13</v>
      </c>
      <c r="F20" s="21" t="s">
        <v>14</v>
      </c>
      <c r="G20" s="21">
        <v>8</v>
      </c>
      <c r="H20" s="21">
        <v>8000</v>
      </c>
      <c r="I20" s="21">
        <f t="shared" si="0"/>
        <v>64000</v>
      </c>
    </row>
    <row r="21" spans="1:9" x14ac:dyDescent="0.3">
      <c r="A21" s="22" t="s">
        <v>46</v>
      </c>
      <c r="B21" s="22" t="s">
        <v>44</v>
      </c>
      <c r="C21" s="22" t="s">
        <v>16</v>
      </c>
      <c r="D21" s="22" t="s">
        <v>12</v>
      </c>
      <c r="E21" s="22" t="s">
        <v>17</v>
      </c>
      <c r="F21" s="22" t="s">
        <v>18</v>
      </c>
      <c r="G21" s="22">
        <v>14</v>
      </c>
      <c r="H21" s="22">
        <v>25000</v>
      </c>
      <c r="I21" s="22">
        <f t="shared" si="0"/>
        <v>350000</v>
      </c>
    </row>
    <row r="22" spans="1:9" x14ac:dyDescent="0.3">
      <c r="A22" s="21" t="s">
        <v>47</v>
      </c>
      <c r="B22" s="21" t="s">
        <v>44</v>
      </c>
      <c r="C22" s="21" t="s">
        <v>11</v>
      </c>
      <c r="D22" s="21" t="s">
        <v>12</v>
      </c>
      <c r="E22" s="21" t="s">
        <v>22</v>
      </c>
      <c r="F22" s="21" t="s">
        <v>23</v>
      </c>
      <c r="G22" s="21">
        <v>7</v>
      </c>
      <c r="H22" s="21">
        <v>50000</v>
      </c>
      <c r="I22" s="21">
        <f t="shared" si="0"/>
        <v>350000</v>
      </c>
    </row>
    <row r="23" spans="1:9" x14ac:dyDescent="0.3">
      <c r="A23" s="22" t="s">
        <v>48</v>
      </c>
      <c r="B23" s="22" t="s">
        <v>44</v>
      </c>
      <c r="C23" s="22" t="s">
        <v>20</v>
      </c>
      <c r="D23" s="22" t="s">
        <v>21</v>
      </c>
      <c r="E23" s="22" t="s">
        <v>26</v>
      </c>
      <c r="F23" s="22" t="s">
        <v>27</v>
      </c>
      <c r="G23" s="22">
        <v>12</v>
      </c>
      <c r="H23" s="22">
        <v>4000</v>
      </c>
      <c r="I23" s="22">
        <f t="shared" si="0"/>
        <v>48000</v>
      </c>
    </row>
  </sheetData>
  <mergeCells count="1">
    <mergeCell ref="A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A83F9-4AB7-4D1E-8FA7-01BBD7C0AD91}">
  <sheetPr>
    <tabColor rgb="FF92D050"/>
  </sheetPr>
  <dimension ref="A1:H10"/>
  <sheetViews>
    <sheetView zoomScale="90" zoomScaleNormal="90" workbookViewId="0">
      <selection activeCell="B7" sqref="B7"/>
    </sheetView>
  </sheetViews>
  <sheetFormatPr defaultRowHeight="14.4" x14ac:dyDescent="0.3"/>
  <cols>
    <col min="1" max="1" width="32" customWidth="1"/>
    <col min="2" max="2" width="18.88671875" customWidth="1"/>
    <col min="3" max="3" width="10.109375" customWidth="1"/>
    <col min="4" max="4" width="8.88671875" customWidth="1"/>
    <col min="5" max="5" width="9.33203125" customWidth="1"/>
    <col min="6" max="6" width="9.5546875" customWidth="1"/>
    <col min="7" max="7" width="8.88671875" customWidth="1"/>
    <col min="8" max="8" width="8.44140625" customWidth="1"/>
  </cols>
  <sheetData>
    <row r="1" spans="1:8" ht="30" x14ac:dyDescent="0.7">
      <c r="A1" s="19" t="s">
        <v>66</v>
      </c>
      <c r="B1" s="19"/>
      <c r="C1" s="19"/>
      <c r="D1" s="19"/>
      <c r="E1" s="19"/>
      <c r="F1" s="19"/>
      <c r="G1" s="19"/>
      <c r="H1" s="19"/>
    </row>
    <row r="3" spans="1:8" ht="18" x14ac:dyDescent="0.35">
      <c r="A3" s="15" t="s">
        <v>50</v>
      </c>
      <c r="B3" s="15" t="s">
        <v>51</v>
      </c>
    </row>
    <row r="4" spans="1:8" ht="18" x14ac:dyDescent="0.35">
      <c r="A4" s="16" t="s">
        <v>52</v>
      </c>
      <c r="B4" s="16">
        <f>SUM('SALES DATA'!I4:I23)</f>
        <v>3500000</v>
      </c>
    </row>
    <row r="5" spans="1:8" ht="18" x14ac:dyDescent="0.35">
      <c r="A5" s="16" t="s">
        <v>53</v>
      </c>
      <c r="B5" s="16">
        <f>AVERAGE('SALES DATA'!I4:I23)</f>
        <v>175000</v>
      </c>
    </row>
    <row r="6" spans="1:8" ht="18" x14ac:dyDescent="0.35">
      <c r="A6" s="16" t="s">
        <v>54</v>
      </c>
      <c r="B6" s="16">
        <f>COUNTA('SALES DATA'!A4:A23)</f>
        <v>20</v>
      </c>
    </row>
    <row r="7" spans="1:8" ht="18" x14ac:dyDescent="0.35">
      <c r="A7" s="16" t="s">
        <v>65</v>
      </c>
      <c r="B7" s="17" t="s">
        <v>60</v>
      </c>
    </row>
    <row r="8" spans="1:8" ht="18" x14ac:dyDescent="0.35">
      <c r="A8" s="17" t="s">
        <v>63</v>
      </c>
      <c r="B8" s="17" t="s">
        <v>61</v>
      </c>
    </row>
    <row r="9" spans="1:8" ht="18" x14ac:dyDescent="0.35">
      <c r="A9" s="17" t="s">
        <v>64</v>
      </c>
      <c r="B9" s="17" t="s">
        <v>62</v>
      </c>
    </row>
    <row r="10" spans="1:8" x14ac:dyDescent="0.3">
      <c r="D10" s="2"/>
    </row>
  </sheetData>
  <mergeCells count="1">
    <mergeCell ref="A1:H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CC446-5061-47F4-B401-B27879B52CE8}">
  <sheetPr>
    <tabColor rgb="FF00B050"/>
  </sheetPr>
  <dimension ref="A3:B10"/>
  <sheetViews>
    <sheetView workbookViewId="0">
      <selection activeCell="E5" sqref="E5"/>
    </sheetView>
  </sheetViews>
  <sheetFormatPr defaultRowHeight="14.4" x14ac:dyDescent="0.3"/>
  <cols>
    <col min="1" max="1" width="17.77734375" bestFit="1" customWidth="1"/>
    <col min="2" max="2" width="18.88671875" bestFit="1" customWidth="1"/>
  </cols>
  <sheetData>
    <row r="3" spans="1:2" ht="23.4" x14ac:dyDescent="0.45">
      <c r="A3" s="3" t="s">
        <v>56</v>
      </c>
      <c r="B3" s="3" t="s">
        <v>57</v>
      </c>
    </row>
    <row r="4" spans="1:2" ht="23.4" x14ac:dyDescent="0.45">
      <c r="A4" s="4" t="s">
        <v>10</v>
      </c>
      <c r="B4" s="5">
        <v>532000</v>
      </c>
    </row>
    <row r="5" spans="1:2" ht="23.4" x14ac:dyDescent="0.45">
      <c r="A5" s="4" t="s">
        <v>25</v>
      </c>
      <c r="B5" s="5">
        <v>482000</v>
      </c>
    </row>
    <row r="6" spans="1:2" ht="23.4" x14ac:dyDescent="0.45">
      <c r="A6" s="4" t="s">
        <v>32</v>
      </c>
      <c r="B6" s="5">
        <v>396000</v>
      </c>
    </row>
    <row r="7" spans="1:2" ht="23.4" x14ac:dyDescent="0.45">
      <c r="A7" s="4" t="s">
        <v>36</v>
      </c>
      <c r="B7" s="5">
        <v>611000</v>
      </c>
    </row>
    <row r="8" spans="1:2" ht="23.4" x14ac:dyDescent="0.45">
      <c r="A8" s="4" t="s">
        <v>40</v>
      </c>
      <c r="B8" s="5">
        <v>623000</v>
      </c>
    </row>
    <row r="9" spans="1:2" ht="23.4" x14ac:dyDescent="0.45">
      <c r="A9" s="4" t="s">
        <v>44</v>
      </c>
      <c r="B9" s="5">
        <v>856000</v>
      </c>
    </row>
    <row r="10" spans="1:2" ht="23.4" x14ac:dyDescent="0.45">
      <c r="A10" s="6" t="s">
        <v>55</v>
      </c>
      <c r="B10" s="7">
        <v>3500000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2CE82-8E3D-4148-9F15-4CE2E280F107}">
  <sheetPr>
    <tabColor rgb="FF00B050"/>
  </sheetPr>
  <dimension ref="A3:B8"/>
  <sheetViews>
    <sheetView workbookViewId="0">
      <selection activeCell="B5" sqref="A3:B8"/>
    </sheetView>
  </sheetViews>
  <sheetFormatPr defaultRowHeight="14.4" x14ac:dyDescent="0.3"/>
  <cols>
    <col min="1" max="1" width="19.44140625" bestFit="1" customWidth="1"/>
    <col min="2" max="2" width="18.88671875" bestFit="1" customWidth="1"/>
  </cols>
  <sheetData>
    <row r="3" spans="1:2" ht="23.4" x14ac:dyDescent="0.45">
      <c r="A3" s="8" t="s">
        <v>58</v>
      </c>
      <c r="B3" s="8" t="s">
        <v>57</v>
      </c>
    </row>
    <row r="4" spans="1:2" ht="23.4" x14ac:dyDescent="0.45">
      <c r="A4" s="9" t="s">
        <v>16</v>
      </c>
      <c r="B4" s="10">
        <v>1600000</v>
      </c>
    </row>
    <row r="5" spans="1:2" ht="23.4" x14ac:dyDescent="0.45">
      <c r="A5" s="9" t="s">
        <v>11</v>
      </c>
      <c r="B5" s="10">
        <v>1500000</v>
      </c>
    </row>
    <row r="6" spans="1:2" ht="23.4" x14ac:dyDescent="0.45">
      <c r="A6" s="9" t="s">
        <v>29</v>
      </c>
      <c r="B6" s="10">
        <v>200000</v>
      </c>
    </row>
    <row r="7" spans="1:2" ht="23.4" x14ac:dyDescent="0.45">
      <c r="A7" s="9" t="s">
        <v>20</v>
      </c>
      <c r="B7" s="10">
        <v>200000</v>
      </c>
    </row>
    <row r="8" spans="1:2" ht="23.4" x14ac:dyDescent="0.45">
      <c r="A8" s="11" t="s">
        <v>55</v>
      </c>
      <c r="B8" s="12">
        <v>3500000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88BAB-2610-4BE7-BEEC-5E4BEE29D1DF}">
  <sheetPr>
    <tabColor rgb="FF00B050"/>
  </sheetPr>
  <dimension ref="A3:D8"/>
  <sheetViews>
    <sheetView workbookViewId="0">
      <selection activeCell="B5" sqref="B5"/>
    </sheetView>
  </sheetViews>
  <sheetFormatPr defaultRowHeight="14.4" x14ac:dyDescent="0.3"/>
  <cols>
    <col min="1" max="1" width="17.77734375" customWidth="1"/>
    <col min="2" max="2" width="17.21875" bestFit="1" customWidth="1"/>
  </cols>
  <sheetData>
    <row r="3" spans="1:4" ht="23.4" x14ac:dyDescent="0.45">
      <c r="A3" s="3" t="s">
        <v>59</v>
      </c>
      <c r="B3" s="3" t="s">
        <v>57</v>
      </c>
      <c r="D3" s="1"/>
    </row>
    <row r="4" spans="1:4" ht="23.4" x14ac:dyDescent="0.45">
      <c r="A4" s="4" t="s">
        <v>18</v>
      </c>
      <c r="B4" s="13">
        <v>1600000</v>
      </c>
    </row>
    <row r="5" spans="1:4" ht="23.4" x14ac:dyDescent="0.45">
      <c r="A5" s="4" t="s">
        <v>27</v>
      </c>
      <c r="B5" s="13">
        <v>742000</v>
      </c>
    </row>
    <row r="6" spans="1:4" ht="23.4" x14ac:dyDescent="0.45">
      <c r="A6" s="4" t="s">
        <v>23</v>
      </c>
      <c r="B6" s="13">
        <v>708000</v>
      </c>
    </row>
    <row r="7" spans="1:4" ht="23.4" x14ac:dyDescent="0.45">
      <c r="A7" s="4" t="s">
        <v>14</v>
      </c>
      <c r="B7" s="13">
        <v>450000</v>
      </c>
    </row>
    <row r="8" spans="1:4" ht="23.4" x14ac:dyDescent="0.45">
      <c r="A8" s="6" t="s">
        <v>55</v>
      </c>
      <c r="B8" s="14">
        <v>3500000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 DATA</vt:lpstr>
      <vt:lpstr>DASHBOARD</vt:lpstr>
      <vt:lpstr>PIVOT - MONTHLY</vt:lpstr>
      <vt:lpstr>PIVOT - PRODUCT</vt:lpstr>
      <vt:lpstr>PIVOT - REGION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Nilanjan Jana</dc:creator>
  <cp:lastModifiedBy>Nilanjan Jana</cp:lastModifiedBy>
  <dcterms:created xsi:type="dcterms:W3CDTF">2026-06-10T13:11:52Z</dcterms:created>
  <dcterms:modified xsi:type="dcterms:W3CDTF">2026-06-11T13:47:28Z</dcterms:modified>
</cp:coreProperties>
</file>